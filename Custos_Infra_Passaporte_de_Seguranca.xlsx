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oaol\unilever-carteirinha\"/>
    </mc:Choice>
  </mc:AlternateContent>
  <xr:revisionPtr revIDLastSave="0" documentId="13_ncr:1_{CFE19476-0E72-49D6-AB84-CE1D8932AB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stos" sheetId="1" r:id="rId1"/>
    <sheet name="Dimensionamento" sheetId="2" r:id="rId2"/>
    <sheet name="Projeção 12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7" i="1" l="1"/>
  <c r="E18" i="1"/>
  <c r="G16" i="1"/>
  <c r="H16" i="1" s="1"/>
  <c r="G15" i="1"/>
  <c r="H15" i="1" s="1"/>
  <c r="G14" i="1"/>
  <c r="H14" i="1" s="1"/>
  <c r="G13" i="1"/>
  <c r="H13" i="1" s="1"/>
  <c r="G12" i="1"/>
  <c r="H12" i="1" l="1"/>
  <c r="H17" i="1" s="1"/>
  <c r="G17" i="1"/>
  <c r="G18" i="1" s="1"/>
  <c r="H18" i="1" l="1"/>
  <c r="H19" i="1" s="1"/>
  <c r="G19" i="1"/>
  <c r="E16" i="3" l="1"/>
  <c r="E15" i="3"/>
  <c r="E14" i="3"/>
  <c r="E8" i="3"/>
  <c r="E7" i="3"/>
  <c r="E6" i="3"/>
  <c r="E5" i="3"/>
  <c r="E13" i="3"/>
  <c r="E12" i="3"/>
  <c r="E11" i="3"/>
  <c r="E10" i="3"/>
  <c r="E9" i="3"/>
  <c r="H20" i="1"/>
  <c r="C16" i="3"/>
  <c r="C15" i="3"/>
  <c r="C8" i="3"/>
  <c r="C6" i="3"/>
  <c r="C14" i="3"/>
  <c r="C13" i="3"/>
  <c r="C12" i="3"/>
  <c r="C11" i="3"/>
  <c r="C10" i="3"/>
  <c r="C9" i="3"/>
  <c r="C7" i="3"/>
  <c r="C5" i="3"/>
  <c r="G20" i="1"/>
  <c r="F5" i="3" l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E17" i="3"/>
  <c r="D5" i="3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C17" i="3"/>
</calcChain>
</file>

<file path=xl/sharedStrings.xml><?xml version="1.0" encoding="utf-8"?>
<sst xmlns="http://schemas.openxmlformats.org/spreadsheetml/2006/main" count="115" uniqueCount="101">
  <si>
    <t>Passaporte de Segurança — Custos de Infraestrutura</t>
  </si>
  <si>
    <t>Vercel Pro + Supabase Pro (compute Small)  ·  dimensionado para ~750 usuários  ·  valores mensais recorrentes</t>
  </si>
  <si>
    <t>Parâmetros</t>
  </si>
  <si>
    <t>Câmbio (USD → BRL)</t>
  </si>
  <si>
    <t>← células amarelas são editáveis</t>
  </si>
  <si>
    <t>Contingência</t>
  </si>
  <si>
    <t>Nº de usuários</t>
  </si>
  <si>
    <t>Item</t>
  </si>
  <si>
    <t>Fornecedor</t>
  </si>
  <si>
    <t>Plano</t>
  </si>
  <si>
    <t>Qtd</t>
  </si>
  <si>
    <t>Unit (USD)</t>
  </si>
  <si>
    <t>USD/mês</t>
  </si>
  <si>
    <t>BRL/mês</t>
  </si>
  <si>
    <t>Observação</t>
  </si>
  <si>
    <t>Vercel Pro</t>
  </si>
  <si>
    <t>Vercel</t>
  </si>
  <si>
    <t>Pro (1 assento)</t>
  </si>
  <si>
    <t>Hospedagem do app. Inclui 1 TB de banda e execuções serverless.</t>
  </si>
  <si>
    <t>Supabase Pro</t>
  </si>
  <si>
    <t>Supabase</t>
  </si>
  <si>
    <t>Pro (base)</t>
  </si>
  <si>
    <t>Banco Postgres, Auth (SSO), Storage e backups. Inclui US$10 de crédito de compute.</t>
  </si>
  <si>
    <t>Supabase — compute Small</t>
  </si>
  <si>
    <t>Small</t>
  </si>
  <si>
    <t>Instância Small (US$15) menos US$10 de crédito do Pro. Mais folga de CPU/memória e conexões que a Micro.</t>
  </si>
  <si>
    <t>E-mail transacional</t>
  </si>
  <si>
    <t>Resend</t>
  </si>
  <si>
    <t>Free</t>
  </si>
  <si>
    <t>Até 3.000 e-mails/mês. Para disparo em massa aos colaboradores, ver Resend Pro nos opcionais.</t>
  </si>
  <si>
    <t>Domínio / DNS</t>
  </si>
  <si>
    <t>registro.br</t>
  </si>
  <si>
    <t>Subdomínio</t>
  </si>
  <si>
    <t>Usar subdomínio Unilever (sem custo). Domínio .com.br próprio ~R$40/ano.</t>
  </si>
  <si>
    <t>Subtotal</t>
  </si>
  <si>
    <t>TOTAL MENSAL</t>
  </si>
  <si>
    <t>TOTAL ANUAL (×12)</t>
  </si>
  <si>
    <t>Opcionais para escala (não inclusos)</t>
  </si>
  <si>
    <t>Custo/mês</t>
  </si>
  <si>
    <t>Resend Pro</t>
  </si>
  <si>
    <t>50k e-mails/mês</t>
  </si>
  <si>
    <t>Remove o limite de 100/dia e 3.000/mês. Necessário se for notificar os ~750 colaboradores por e-mail em massa.</t>
  </si>
  <si>
    <t>Assento Vercel extra</t>
  </si>
  <si>
    <t>por assento</t>
  </si>
  <si>
    <t>Se mais de 1 pessoa precisar publicar/gerir deploys.</t>
  </si>
  <si>
    <t>Supabase compute Medium</t>
  </si>
  <si>
    <t>Medium</t>
  </si>
  <si>
    <t>Só se o volume crescer muito. Small já atende 750 usuários com folga.</t>
  </si>
  <si>
    <t>Domínio .com.br próprio</t>
  </si>
  <si>
    <t>anual</t>
  </si>
  <si>
    <t>Caso não use subdomínio Unilever. ~R$40/ano.</t>
  </si>
  <si>
    <t>Dimensionamento da infraestrutura — ~750 usuários</t>
  </si>
  <si>
    <t>Os planos Pro cobrem o uso com larga folga. O gargalo real é irrelevante nesta escala.</t>
  </si>
  <si>
    <t>Recurso</t>
  </si>
  <si>
    <t>Incluído no plano</t>
  </si>
  <si>
    <t>Uso estimado (~750 usuários)</t>
  </si>
  <si>
    <t>Situação</t>
  </si>
  <si>
    <t>Usuários ativos (Auth/MAU)</t>
  </si>
  <si>
    <t>100.000 / mês</t>
  </si>
  <si>
    <t>~15 (só equipe admin e SHE; colaborador não faz login)</t>
  </si>
  <si>
    <t>Folga enorme</t>
  </si>
  <si>
    <t>Banda Vercel</t>
  </si>
  <si>
    <t>1 TB / mês</t>
  </si>
  <si>
    <t>~3 GB (app leve, cacheado por QR/RE)</t>
  </si>
  <si>
    <t>Egress Supabase</t>
  </si>
  <si>
    <t>250 GB / mês</t>
  </si>
  <si>
    <t>~2 GB (consultas de RE e cargas)</t>
  </si>
  <si>
    <t>Banco de dados</t>
  </si>
  <si>
    <t>8 GB</t>
  </si>
  <si>
    <t>&lt; 100 MB (750 colaboradores + treinamentos)</t>
  </si>
  <si>
    <t>Storage (fotos)</t>
  </si>
  <si>
    <t>100 GB</t>
  </si>
  <si>
    <t>~0,2 GB (750 fotos, se houver)</t>
  </si>
  <si>
    <t>Execuções serverless</t>
  </si>
  <si>
    <t>Incluído no Pro</t>
  </si>
  <si>
    <t>Baixo (consultas pontuais)</t>
  </si>
  <si>
    <t>Folga</t>
  </si>
  <si>
    <t>Backups</t>
  </si>
  <si>
    <t>Diário (Pro)</t>
  </si>
  <si>
    <t>Automático</t>
  </si>
  <si>
    <t>OK</t>
  </si>
  <si>
    <t>Conclusão: a instância Micro já atenderia os 750 usuários. Adotamos o compute Small como margem de conforto (mais CPU, memória e conexões simultâneas), pensando em picos de acesso na troca de turno. Mesmo 5.000 usuários não mudariam de plano, pois o colaborador apenas consulta (sem login) e o volume de dados é pequeno. O custo é praticamente fixo nesta escala.</t>
  </si>
  <si>
    <t>Projeção de 12 meses</t>
  </si>
  <si>
    <t>Mês</t>
  </si>
  <si>
    <t>Mensal (USD)</t>
  </si>
  <si>
    <t>Acumulado (USD)</t>
  </si>
  <si>
    <t>Mensal (BRL)</t>
  </si>
  <si>
    <t>Acumulado (BRL)</t>
  </si>
  <si>
    <t>Mês 1</t>
  </si>
  <si>
    <t>Mês 2</t>
  </si>
  <si>
    <t>Mês 3</t>
  </si>
  <si>
    <t>Mês 4</t>
  </si>
  <si>
    <t>Mês 5</t>
  </si>
  <si>
    <t>Mês 6</t>
  </si>
  <si>
    <t>Mês 7</t>
  </si>
  <si>
    <t>Mês 8</t>
  </si>
  <si>
    <t>Mês 9</t>
  </si>
  <si>
    <t>Mês 10</t>
  </si>
  <si>
    <t>Mês 11</t>
  </si>
  <si>
    <t>Mês 12</t>
  </si>
  <si>
    <t>TOTAL 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</si>
</sst>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&quot;R$&quot;\ #,##0.00"/>
    <numFmt numFmtId="166" formatCode="&quot;$&quot;#,##0"/>
    <numFmt numFmtId="167" formatCode="&quot;R$&quot;\ #,##0"/>
  </numFmts>
  <fonts count="17" x14ac:knownFonts="1">
    <font>
      <sz val="11"/>
      <color theme="1"/>
      <name val="Calibri"/>
      <family val="2"/>
      <scheme val="minor"/>
    </font>
    <font>
      <b/>
      <sz val="15"/>
      <color rgb="FF1F36C7"/>
      <name val="Arial"/>
    </font>
    <font>
      <sz val="10"/>
      <color rgb="FF5B6478"/>
      <name val="Arial"/>
    </font>
    <font>
      <b/>
      <sz val="11"/>
      <color rgb="FF0E1424"/>
      <name val="Arial"/>
    </font>
    <font>
      <b/>
      <sz val="10"/>
      <color rgb="FF23272F"/>
      <name val="Arial"/>
    </font>
    <font>
      <b/>
      <sz val="10"/>
      <color rgb="FF0000FF"/>
      <name val="Arial"/>
    </font>
    <font>
      <sz val="9"/>
      <color rgb="FF5B6478"/>
      <name val="Arial"/>
    </font>
    <font>
      <b/>
      <sz val="10"/>
      <color rgb="FFFFFFFF"/>
      <name val="Arial"/>
    </font>
    <font>
      <sz val="10"/>
      <color rgb="FF23272F"/>
      <name val="Arial"/>
    </font>
    <font>
      <sz val="10"/>
      <color rgb="FF0000FF"/>
      <name val="Arial"/>
    </font>
    <font>
      <b/>
      <sz val="11"/>
      <color rgb="FFFFFFFF"/>
      <name val="Arial"/>
    </font>
    <font>
      <b/>
      <sz val="10"/>
      <color rgb="FF0E1424"/>
      <name val="Arial"/>
    </font>
    <font>
      <b/>
      <sz val="9"/>
      <color rgb="FFFFFFFF"/>
      <name val="Arial"/>
    </font>
    <font>
      <sz val="9"/>
      <color rgb="FF23272F"/>
      <name val="Arial"/>
    </font>
    <font>
      <b/>
      <sz val="14"/>
      <color rgb="FF1F36C7"/>
      <name val="Arial"/>
    </font>
    <font>
      <b/>
      <sz val="10"/>
      <color rgb="FF0F9D58"/>
      <name val="Arial"/>
    </font>
    <font>
      <sz val="10"/>
      <color rgb="FF0E1424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6D6"/>
      </patternFill>
    </fill>
    <fill>
      <patternFill patternType="solid">
        <fgColor rgb="FF1F36C7"/>
      </patternFill>
    </fill>
    <fill>
      <patternFill patternType="solid">
        <fgColor rgb="FFEEF1FF"/>
      </patternFill>
    </fill>
    <fill>
      <patternFill patternType="solid">
        <fgColor rgb="FF5B6478"/>
      </patternFill>
    </fill>
    <fill>
      <patternFill patternType="solid">
        <fgColor rgb="FFE7F6EE"/>
      </patternFill>
    </fill>
  </fills>
  <borders count="2">
    <border>
      <left/>
      <right/>
      <top/>
      <bottom/>
      <diagonal/>
    </border>
    <border>
      <left style="thin">
        <color rgb="FFD6DBE6"/>
      </left>
      <right style="thin">
        <color rgb="FFD6DBE6"/>
      </right>
      <top style="thin">
        <color rgb="FFD6DBE6"/>
      </top>
      <bottom style="thin">
        <color rgb="FFD6DBE6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4" fontId="5" fillId="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9" fontId="5" fillId="2" borderId="1" xfId="0" applyNumberFormat="1" applyFont="1" applyFill="1" applyBorder="1" applyAlignment="1">
      <alignment horizontal="center" vertical="center"/>
    </xf>
    <xf numFmtId="3" fontId="5" fillId="2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right" vertical="center"/>
    </xf>
    <xf numFmtId="164" fontId="8" fillId="0" borderId="1" xfId="0" applyNumberFormat="1" applyFont="1" applyBorder="1" applyAlignment="1">
      <alignment horizontal="right" vertical="center"/>
    </xf>
    <xf numFmtId="165" fontId="8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9" fontId="8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164" fontId="10" fillId="3" borderId="1" xfId="0" applyNumberFormat="1" applyFont="1" applyFill="1" applyBorder="1" applyAlignment="1">
      <alignment horizontal="right" vertical="center"/>
    </xf>
    <xf numFmtId="165" fontId="10" fillId="3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/>
    </xf>
    <xf numFmtId="166" fontId="3" fillId="4" borderId="1" xfId="0" applyNumberFormat="1" applyFont="1" applyFill="1" applyBorder="1" applyAlignment="1">
      <alignment horizontal="right" vertical="center"/>
    </xf>
    <xf numFmtId="167" fontId="3" fillId="4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left" vertical="center"/>
    </xf>
    <xf numFmtId="0" fontId="12" fillId="5" borderId="0" xfId="0" applyFont="1" applyFill="1" applyAlignment="1">
      <alignment horizontal="left" vertical="center"/>
    </xf>
    <xf numFmtId="0" fontId="12" fillId="5" borderId="0" xfId="0" applyFont="1" applyFill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164" fontId="13" fillId="0" borderId="1" xfId="0" applyNumberFormat="1" applyFont="1" applyBorder="1" applyAlignment="1">
      <alignment horizontal="right" vertical="center"/>
    </xf>
    <xf numFmtId="165" fontId="13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15" fillId="6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166" fontId="10" fillId="3" borderId="1" xfId="0" applyNumberFormat="1" applyFont="1" applyFill="1" applyBorder="1" applyAlignment="1">
      <alignment horizontal="right" vertical="center"/>
    </xf>
    <xf numFmtId="167" fontId="10" fillId="3" borderId="1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left" vertical="center"/>
    </xf>
    <xf numFmtId="0" fontId="16" fillId="4" borderId="1" xfId="0" applyFont="1" applyFill="1" applyBorder="1" applyAlignment="1">
      <alignment horizontal="left" vertical="center" wrapText="1"/>
    </xf>
    <xf numFmtId="0" fontId="1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7"/>
  <sheetViews>
    <sheetView showGridLines="0" tabSelected="1" workbookViewId="0"/>
  </sheetViews>
  <sheetFormatPr defaultRowHeight="15" x14ac:dyDescent="0.25"/>
  <cols>
    <col min="1" max="1" width="3" customWidth="1"/>
    <col min="2" max="2" width="26" customWidth="1"/>
    <col min="3" max="3" width="15" customWidth="1"/>
    <col min="4" max="4" width="20" customWidth="1"/>
    <col min="5" max="5" width="10" customWidth="1"/>
    <col min="6" max="6" width="12" customWidth="1"/>
    <col min="7" max="7" width="14" customWidth="1"/>
    <col min="8" max="8" width="15" customWidth="1"/>
    <col min="9" max="9" width="34" customWidth="1"/>
  </cols>
  <sheetData>
    <row r="2" spans="2:9" ht="19.5" x14ac:dyDescent="0.25">
      <c r="B2" s="42" t="s">
        <v>0</v>
      </c>
      <c r="C2" s="41"/>
      <c r="D2" s="41"/>
      <c r="E2" s="41"/>
      <c r="F2" s="41"/>
      <c r="G2" s="41"/>
      <c r="H2" s="41"/>
      <c r="I2" s="41"/>
    </row>
    <row r="3" spans="2:9" x14ac:dyDescent="0.25">
      <c r="B3" s="40" t="s">
        <v>1</v>
      </c>
      <c r="C3" s="41"/>
      <c r="D3" s="41"/>
      <c r="E3" s="41"/>
      <c r="F3" s="41"/>
      <c r="G3" s="41"/>
      <c r="H3" s="41"/>
      <c r="I3" s="41"/>
    </row>
    <row r="5" spans="2:9" x14ac:dyDescent="0.25">
      <c r="B5" s="1" t="s">
        <v>2</v>
      </c>
    </row>
    <row r="6" spans="2:9" x14ac:dyDescent="0.25">
      <c r="B6" s="2" t="s">
        <v>3</v>
      </c>
      <c r="C6" s="3">
        <v>5.4</v>
      </c>
      <c r="E6" s="4" t="s">
        <v>4</v>
      </c>
    </row>
    <row r="7" spans="2:9" x14ac:dyDescent="0.25">
      <c r="B7" s="2" t="s">
        <v>5</v>
      </c>
      <c r="C7" s="5">
        <v>0.1</v>
      </c>
    </row>
    <row r="8" spans="2:9" x14ac:dyDescent="0.25">
      <c r="B8" s="2" t="s">
        <v>6</v>
      </c>
      <c r="C8" s="6">
        <v>750</v>
      </c>
    </row>
    <row r="11" spans="2:9" x14ac:dyDescent="0.25">
      <c r="B11" s="7" t="s">
        <v>7</v>
      </c>
      <c r="C11" s="7" t="s">
        <v>8</v>
      </c>
      <c r="D11" s="7" t="s">
        <v>9</v>
      </c>
      <c r="E11" s="8" t="s">
        <v>10</v>
      </c>
      <c r="F11" s="8" t="s">
        <v>11</v>
      </c>
      <c r="G11" s="8" t="s">
        <v>12</v>
      </c>
      <c r="H11" s="8" t="s">
        <v>13</v>
      </c>
      <c r="I11" s="8" t="s">
        <v>14</v>
      </c>
    </row>
    <row r="12" spans="2:9" ht="24" x14ac:dyDescent="0.25">
      <c r="B12" s="9" t="s">
        <v>15</v>
      </c>
      <c r="C12" s="10" t="s">
        <v>16</v>
      </c>
      <c r="D12" s="10" t="s">
        <v>17</v>
      </c>
      <c r="E12" s="11">
        <v>1</v>
      </c>
      <c r="F12" s="12">
        <v>20</v>
      </c>
      <c r="G12" s="13">
        <f>E12*F12</f>
        <v>20</v>
      </c>
      <c r="H12" s="14">
        <f>G12*$C$6</f>
        <v>108</v>
      </c>
      <c r="I12" s="15" t="s">
        <v>18</v>
      </c>
    </row>
    <row r="13" spans="2:9" ht="36" x14ac:dyDescent="0.25">
      <c r="B13" s="9" t="s">
        <v>19</v>
      </c>
      <c r="C13" s="10" t="s">
        <v>20</v>
      </c>
      <c r="D13" s="10" t="s">
        <v>21</v>
      </c>
      <c r="E13" s="11">
        <v>1</v>
      </c>
      <c r="F13" s="12">
        <v>25</v>
      </c>
      <c r="G13" s="13">
        <f>E13*F13</f>
        <v>25</v>
      </c>
      <c r="H13" s="14">
        <f>G13*$C$6</f>
        <v>135</v>
      </c>
      <c r="I13" s="15" t="s">
        <v>22</v>
      </c>
    </row>
    <row r="14" spans="2:9" ht="36" x14ac:dyDescent="0.25">
      <c r="B14" s="9" t="s">
        <v>23</v>
      </c>
      <c r="C14" s="10" t="s">
        <v>20</v>
      </c>
      <c r="D14" s="10" t="s">
        <v>24</v>
      </c>
      <c r="E14" s="11">
        <v>1</v>
      </c>
      <c r="F14" s="12">
        <v>5</v>
      </c>
      <c r="G14" s="13">
        <f>E14*F14</f>
        <v>5</v>
      </c>
      <c r="H14" s="14">
        <f>G14*$C$6</f>
        <v>27</v>
      </c>
      <c r="I14" s="15" t="s">
        <v>25</v>
      </c>
    </row>
    <row r="15" spans="2:9" ht="36" x14ac:dyDescent="0.25">
      <c r="B15" s="9" t="s">
        <v>26</v>
      </c>
      <c r="C15" s="10" t="s">
        <v>27</v>
      </c>
      <c r="D15" s="10" t="s">
        <v>28</v>
      </c>
      <c r="E15" s="11">
        <v>1</v>
      </c>
      <c r="F15" s="12">
        <v>0</v>
      </c>
      <c r="G15" s="13">
        <f>E15*F15</f>
        <v>0</v>
      </c>
      <c r="H15" s="14">
        <f>G15*$C$6</f>
        <v>0</v>
      </c>
      <c r="I15" s="15" t="s">
        <v>29</v>
      </c>
    </row>
    <row r="16" spans="2:9" ht="24" x14ac:dyDescent="0.25">
      <c r="B16" s="9" t="s">
        <v>30</v>
      </c>
      <c r="C16" s="10" t="s">
        <v>31</v>
      </c>
      <c r="D16" s="10" t="s">
        <v>32</v>
      </c>
      <c r="E16" s="11">
        <v>1</v>
      </c>
      <c r="F16" s="12">
        <v>0</v>
      </c>
      <c r="G16" s="13">
        <f>E16*F16</f>
        <v>0</v>
      </c>
      <c r="H16" s="14">
        <f>G16*$C$6</f>
        <v>0</v>
      </c>
      <c r="I16" s="15" t="s">
        <v>33</v>
      </c>
    </row>
    <row r="17" spans="2:9" x14ac:dyDescent="0.25">
      <c r="B17" s="16" t="s">
        <v>34</v>
      </c>
      <c r="C17" s="17"/>
      <c r="D17" s="17"/>
      <c r="E17" s="17"/>
      <c r="F17" s="17"/>
      <c r="G17" s="18">
        <f>SUM(G12:G16)</f>
        <v>50</v>
      </c>
      <c r="H17" s="19">
        <f>SUM(H12:H16)</f>
        <v>270</v>
      </c>
      <c r="I17" s="17"/>
    </row>
    <row r="18" spans="2:9" x14ac:dyDescent="0.25">
      <c r="B18" s="10" t="s">
        <v>5</v>
      </c>
      <c r="C18" s="10"/>
      <c r="D18" s="10"/>
      <c r="E18" s="20">
        <f>$C$7</f>
        <v>0.1</v>
      </c>
      <c r="F18" s="10"/>
      <c r="G18" s="13">
        <f>G17*$C$7</f>
        <v>5</v>
      </c>
      <c r="H18" s="14">
        <f>G18*$C$6</f>
        <v>27</v>
      </c>
      <c r="I18" s="10"/>
    </row>
    <row r="19" spans="2:9" x14ac:dyDescent="0.25">
      <c r="B19" s="21" t="s">
        <v>35</v>
      </c>
      <c r="C19" s="22"/>
      <c r="D19" s="22"/>
      <c r="E19" s="22"/>
      <c r="F19" s="22"/>
      <c r="G19" s="23">
        <f>G17+G18</f>
        <v>55</v>
      </c>
      <c r="H19" s="24">
        <f>H17+H18</f>
        <v>297</v>
      </c>
      <c r="I19" s="22"/>
    </row>
    <row r="20" spans="2:9" x14ac:dyDescent="0.25">
      <c r="B20" s="25" t="s">
        <v>36</v>
      </c>
      <c r="C20" s="17"/>
      <c r="D20" s="17"/>
      <c r="E20" s="17"/>
      <c r="F20" s="17"/>
      <c r="G20" s="26">
        <f>G19*12</f>
        <v>660</v>
      </c>
      <c r="H20" s="27">
        <f>H19*12</f>
        <v>3564</v>
      </c>
      <c r="I20" s="17"/>
    </row>
    <row r="22" spans="2:9" x14ac:dyDescent="0.25">
      <c r="B22" s="28" t="s">
        <v>37</v>
      </c>
    </row>
    <row r="23" spans="2:9" x14ac:dyDescent="0.25">
      <c r="B23" s="29" t="s">
        <v>7</v>
      </c>
      <c r="C23" s="29" t="s">
        <v>8</v>
      </c>
      <c r="D23" s="29" t="s">
        <v>9</v>
      </c>
      <c r="G23" s="30" t="s">
        <v>38</v>
      </c>
      <c r="I23" s="29" t="s">
        <v>14</v>
      </c>
    </row>
    <row r="24" spans="2:9" ht="36" x14ac:dyDescent="0.25">
      <c r="B24" s="31" t="s">
        <v>39</v>
      </c>
      <c r="C24" s="31" t="s">
        <v>27</v>
      </c>
      <c r="D24" s="31" t="s">
        <v>40</v>
      </c>
      <c r="G24" s="32">
        <v>20</v>
      </c>
      <c r="I24" s="15" t="s">
        <v>41</v>
      </c>
    </row>
    <row r="25" spans="2:9" ht="24" x14ac:dyDescent="0.25">
      <c r="B25" s="31" t="s">
        <v>42</v>
      </c>
      <c r="C25" s="31" t="s">
        <v>16</v>
      </c>
      <c r="D25" s="31" t="s">
        <v>43</v>
      </c>
      <c r="G25" s="32">
        <v>20</v>
      </c>
      <c r="I25" s="15" t="s">
        <v>44</v>
      </c>
    </row>
    <row r="26" spans="2:9" ht="24" x14ac:dyDescent="0.25">
      <c r="B26" s="31" t="s">
        <v>45</v>
      </c>
      <c r="C26" s="31" t="s">
        <v>20</v>
      </c>
      <c r="D26" s="31" t="s">
        <v>46</v>
      </c>
      <c r="G26" s="32">
        <v>60</v>
      </c>
      <c r="I26" s="15" t="s">
        <v>47</v>
      </c>
    </row>
    <row r="27" spans="2:9" ht="24" x14ac:dyDescent="0.25">
      <c r="B27" s="31" t="s">
        <v>48</v>
      </c>
      <c r="C27" s="31" t="s">
        <v>31</v>
      </c>
      <c r="D27" s="31" t="s">
        <v>49</v>
      </c>
      <c r="G27" s="33">
        <f>40/12</f>
        <v>3.3333333333333335</v>
      </c>
      <c r="I27" s="15" t="s">
        <v>50</v>
      </c>
    </row>
  </sheetData>
  <mergeCells count="2">
    <mergeCell ref="B3:I3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6"/>
  <sheetViews>
    <sheetView showGridLines="0" workbookViewId="0"/>
  </sheetViews>
  <sheetFormatPr defaultRowHeight="15" x14ac:dyDescent="0.25"/>
  <cols>
    <col min="1" max="1" width="3" customWidth="1"/>
    <col min="2" max="2" width="30" customWidth="1"/>
    <col min="3" max="4" width="26" customWidth="1"/>
    <col min="5" max="5" width="20" customWidth="1"/>
  </cols>
  <sheetData>
    <row r="2" spans="2:5" ht="18" x14ac:dyDescent="0.25">
      <c r="B2" s="44" t="s">
        <v>51</v>
      </c>
      <c r="C2" s="41"/>
      <c r="D2" s="41"/>
      <c r="E2" s="41"/>
    </row>
    <row r="3" spans="2:5" x14ac:dyDescent="0.25">
      <c r="B3" s="40" t="s">
        <v>52</v>
      </c>
      <c r="C3" s="41"/>
      <c r="D3" s="41"/>
      <c r="E3" s="41"/>
    </row>
    <row r="5" spans="2:5" x14ac:dyDescent="0.25">
      <c r="B5" s="7" t="s">
        <v>53</v>
      </c>
      <c r="C5" s="7" t="s">
        <v>54</v>
      </c>
      <c r="D5" s="7" t="s">
        <v>55</v>
      </c>
      <c r="E5" s="8" t="s">
        <v>56</v>
      </c>
    </row>
    <row r="6" spans="2:5" ht="25.5" x14ac:dyDescent="0.25">
      <c r="B6" s="34" t="s">
        <v>57</v>
      </c>
      <c r="C6" s="35" t="s">
        <v>58</v>
      </c>
      <c r="D6" s="35" t="s">
        <v>59</v>
      </c>
      <c r="E6" s="36" t="s">
        <v>60</v>
      </c>
    </row>
    <row r="7" spans="2:5" ht="25.5" x14ac:dyDescent="0.25">
      <c r="B7" s="34" t="s">
        <v>61</v>
      </c>
      <c r="C7" s="35" t="s">
        <v>62</v>
      </c>
      <c r="D7" s="35" t="s">
        <v>63</v>
      </c>
      <c r="E7" s="36" t="s">
        <v>60</v>
      </c>
    </row>
    <row r="8" spans="2:5" ht="25.5" x14ac:dyDescent="0.25">
      <c r="B8" s="34" t="s">
        <v>64</v>
      </c>
      <c r="C8" s="35" t="s">
        <v>65</v>
      </c>
      <c r="D8" s="35" t="s">
        <v>66</v>
      </c>
      <c r="E8" s="36" t="s">
        <v>60</v>
      </c>
    </row>
    <row r="9" spans="2:5" ht="25.5" x14ac:dyDescent="0.25">
      <c r="B9" s="34" t="s">
        <v>67</v>
      </c>
      <c r="C9" s="35" t="s">
        <v>68</v>
      </c>
      <c r="D9" s="35" t="s">
        <v>69</v>
      </c>
      <c r="E9" s="36" t="s">
        <v>60</v>
      </c>
    </row>
    <row r="10" spans="2:5" ht="25.5" x14ac:dyDescent="0.25">
      <c r="B10" s="34" t="s">
        <v>70</v>
      </c>
      <c r="C10" s="35" t="s">
        <v>71</v>
      </c>
      <c r="D10" s="35" t="s">
        <v>72</v>
      </c>
      <c r="E10" s="36" t="s">
        <v>60</v>
      </c>
    </row>
    <row r="11" spans="2:5" x14ac:dyDescent="0.25">
      <c r="B11" s="34" t="s">
        <v>73</v>
      </c>
      <c r="C11" s="35" t="s">
        <v>74</v>
      </c>
      <c r="D11" s="35" t="s">
        <v>75</v>
      </c>
      <c r="E11" s="36" t="s">
        <v>76</v>
      </c>
    </row>
    <row r="12" spans="2:5" x14ac:dyDescent="0.25">
      <c r="B12" s="34" t="s">
        <v>77</v>
      </c>
      <c r="C12" s="35" t="s">
        <v>78</v>
      </c>
      <c r="D12" s="35" t="s">
        <v>79</v>
      </c>
      <c r="E12" s="36" t="s">
        <v>80</v>
      </c>
    </row>
    <row r="14" spans="2:5" x14ac:dyDescent="0.25">
      <c r="B14" s="43" t="s">
        <v>81</v>
      </c>
      <c r="C14" s="41"/>
      <c r="D14" s="41"/>
      <c r="E14" s="41"/>
    </row>
    <row r="15" spans="2:5" x14ac:dyDescent="0.25">
      <c r="B15" s="41"/>
      <c r="C15" s="41"/>
      <c r="D15" s="41"/>
      <c r="E15" s="41"/>
    </row>
    <row r="16" spans="2:5" x14ac:dyDescent="0.25">
      <c r="B16" s="41"/>
      <c r="C16" s="41"/>
      <c r="D16" s="41"/>
      <c r="E16" s="41"/>
    </row>
  </sheetData>
  <mergeCells count="3">
    <mergeCell ref="B14:E16"/>
    <mergeCell ref="B3:E3"/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17"/>
  <sheetViews>
    <sheetView showGridLines="0" workbookViewId="0"/>
  </sheetViews>
  <sheetFormatPr defaultRowHeight="15" x14ac:dyDescent="0.25"/>
  <cols>
    <col min="1" max="1" width="3" customWidth="1"/>
    <col min="2" max="2" width="12" customWidth="1"/>
    <col min="3" max="3" width="18" customWidth="1"/>
    <col min="4" max="4" width="20" customWidth="1"/>
    <col min="5" max="5" width="18" customWidth="1"/>
    <col min="6" max="6" width="20" customWidth="1"/>
  </cols>
  <sheetData>
    <row r="2" spans="2:6" ht="18" x14ac:dyDescent="0.25">
      <c r="B2" s="44" t="s">
        <v>82</v>
      </c>
      <c r="C2" s="41"/>
      <c r="D2" s="41"/>
      <c r="E2" s="41"/>
      <c r="F2" s="41"/>
    </row>
    <row r="4" spans="2:6" x14ac:dyDescent="0.25"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</row>
    <row r="5" spans="2:6" x14ac:dyDescent="0.25">
      <c r="B5" s="11" t="s">
        <v>88</v>
      </c>
      <c r="C5" s="13">
        <f>Custos!$G$19</f>
        <v>55</v>
      </c>
      <c r="D5" s="13">
        <f>C5</f>
        <v>55</v>
      </c>
      <c r="E5" s="14">
        <f>Custos!$H$19</f>
        <v>297</v>
      </c>
      <c r="F5" s="14">
        <f>E5</f>
        <v>297</v>
      </c>
    </row>
    <row r="6" spans="2:6" x14ac:dyDescent="0.25">
      <c r="B6" s="11" t="s">
        <v>89</v>
      </c>
      <c r="C6" s="13">
        <f>Custos!$G$19</f>
        <v>55</v>
      </c>
      <c r="D6" s="13">
        <f t="shared" ref="D6:D16" si="0">D5+C6</f>
        <v>110</v>
      </c>
      <c r="E6" s="14">
        <f>Custos!$H$19</f>
        <v>297</v>
      </c>
      <c r="F6" s="14">
        <f t="shared" ref="F6:F16" si="1">F5+E6</f>
        <v>594</v>
      </c>
    </row>
    <row r="7" spans="2:6" x14ac:dyDescent="0.25">
      <c r="B7" s="11" t="s">
        <v>90</v>
      </c>
      <c r="C7" s="13">
        <f>Custos!$G$19</f>
        <v>55</v>
      </c>
      <c r="D7" s="13">
        <f t="shared" si="0"/>
        <v>165</v>
      </c>
      <c r="E7" s="14">
        <f>Custos!$H$19</f>
        <v>297</v>
      </c>
      <c r="F7" s="14">
        <f t="shared" si="1"/>
        <v>891</v>
      </c>
    </row>
    <row r="8" spans="2:6" x14ac:dyDescent="0.25">
      <c r="B8" s="11" t="s">
        <v>91</v>
      </c>
      <c r="C8" s="13">
        <f>Custos!$G$19</f>
        <v>55</v>
      </c>
      <c r="D8" s="13">
        <f t="shared" si="0"/>
        <v>220</v>
      </c>
      <c r="E8" s="14">
        <f>Custos!$H$19</f>
        <v>297</v>
      </c>
      <c r="F8" s="14">
        <f t="shared" si="1"/>
        <v>1188</v>
      </c>
    </row>
    <row r="9" spans="2:6" x14ac:dyDescent="0.25">
      <c r="B9" s="11" t="s">
        <v>92</v>
      </c>
      <c r="C9" s="13">
        <f>Custos!$G$19</f>
        <v>55</v>
      </c>
      <c r="D9" s="13">
        <f t="shared" si="0"/>
        <v>275</v>
      </c>
      <c r="E9" s="14">
        <f>Custos!$H$19</f>
        <v>297</v>
      </c>
      <c r="F9" s="14">
        <f t="shared" si="1"/>
        <v>1485</v>
      </c>
    </row>
    <row r="10" spans="2:6" x14ac:dyDescent="0.25">
      <c r="B10" s="11" t="s">
        <v>93</v>
      </c>
      <c r="C10" s="13">
        <f>Custos!$G$19</f>
        <v>55</v>
      </c>
      <c r="D10" s="13">
        <f t="shared" si="0"/>
        <v>330</v>
      </c>
      <c r="E10" s="14">
        <f>Custos!$H$19</f>
        <v>297</v>
      </c>
      <c r="F10" s="14">
        <f t="shared" si="1"/>
        <v>1782</v>
      </c>
    </row>
    <row r="11" spans="2:6" x14ac:dyDescent="0.25">
      <c r="B11" s="11" t="s">
        <v>94</v>
      </c>
      <c r="C11" s="13">
        <f>Custos!$G$19</f>
        <v>55</v>
      </c>
      <c r="D11" s="13">
        <f t="shared" si="0"/>
        <v>385</v>
      </c>
      <c r="E11" s="14">
        <f>Custos!$H$19</f>
        <v>297</v>
      </c>
      <c r="F11" s="14">
        <f t="shared" si="1"/>
        <v>2079</v>
      </c>
    </row>
    <row r="12" spans="2:6" x14ac:dyDescent="0.25">
      <c r="B12" s="11" t="s">
        <v>95</v>
      </c>
      <c r="C12" s="13">
        <f>Custos!$G$19</f>
        <v>55</v>
      </c>
      <c r="D12" s="13">
        <f t="shared" si="0"/>
        <v>440</v>
      </c>
      <c r="E12" s="14">
        <f>Custos!$H$19</f>
        <v>297</v>
      </c>
      <c r="F12" s="14">
        <f t="shared" si="1"/>
        <v>2376</v>
      </c>
    </row>
    <row r="13" spans="2:6" x14ac:dyDescent="0.25">
      <c r="B13" s="11" t="s">
        <v>96</v>
      </c>
      <c r="C13" s="13">
        <f>Custos!$G$19</f>
        <v>55</v>
      </c>
      <c r="D13" s="13">
        <f t="shared" si="0"/>
        <v>495</v>
      </c>
      <c r="E13" s="14">
        <f>Custos!$H$19</f>
        <v>297</v>
      </c>
      <c r="F13" s="14">
        <f t="shared" si="1"/>
        <v>2673</v>
      </c>
    </row>
    <row r="14" spans="2:6" x14ac:dyDescent="0.25">
      <c r="B14" s="11" t="s">
        <v>97</v>
      </c>
      <c r="C14" s="13">
        <f>Custos!$G$19</f>
        <v>55</v>
      </c>
      <c r="D14" s="13">
        <f t="shared" si="0"/>
        <v>550</v>
      </c>
      <c r="E14" s="14">
        <f>Custos!$H$19</f>
        <v>297</v>
      </c>
      <c r="F14" s="14">
        <f t="shared" si="1"/>
        <v>2970</v>
      </c>
    </row>
    <row r="15" spans="2:6" x14ac:dyDescent="0.25">
      <c r="B15" s="11" t="s">
        <v>98</v>
      </c>
      <c r="C15" s="13">
        <f>Custos!$G$19</f>
        <v>55</v>
      </c>
      <c r="D15" s="13">
        <f t="shared" si="0"/>
        <v>605</v>
      </c>
      <c r="E15" s="14">
        <f>Custos!$H$19</f>
        <v>297</v>
      </c>
      <c r="F15" s="14">
        <f t="shared" si="1"/>
        <v>3267</v>
      </c>
    </row>
    <row r="16" spans="2:6" x14ac:dyDescent="0.25">
      <c r="B16" s="11" t="s">
        <v>99</v>
      </c>
      <c r="C16" s="13">
        <f>Custos!$G$19</f>
        <v>55</v>
      </c>
      <c r="D16" s="13">
        <f t="shared" si="0"/>
        <v>660</v>
      </c>
      <c r="E16" s="14">
        <f>Custos!$H$19</f>
        <v>297</v>
      </c>
      <c r="F16" s="14">
        <f t="shared" si="1"/>
        <v>3564</v>
      </c>
    </row>
    <row r="17" spans="2:6" x14ac:dyDescent="0.25">
      <c r="B17" s="37" t="s">
        <v>100</v>
      </c>
      <c r="C17" s="38">
        <f>SUM(C5:C16)</f>
        <v>660</v>
      </c>
      <c r="D17" s="22"/>
      <c r="E17" s="39">
        <f>SUM(E5:E16)</f>
        <v>3564</v>
      </c>
      <c r="F17" s="22"/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Custos</vt:lpstr>
      <vt:lpstr>Dimensionamento</vt:lpstr>
      <vt:lpstr>Projeção 12M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Silvestrim</cp:lastModifiedBy>
  <dcterms:created xsi:type="dcterms:W3CDTF">2026-08-28T19:40:24Z</dcterms:created>
  <dcterms:modified xsi:type="dcterms:W3CDTF">2026-08-28T19:40:34Z</dcterms:modified>
</cp:coreProperties>
</file>